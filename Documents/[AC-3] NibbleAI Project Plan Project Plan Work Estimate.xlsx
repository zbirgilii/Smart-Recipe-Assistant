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3FFCF372-3E7B-4581-A662-7D49C5B84C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ess Planning and Track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F23" i="1"/>
  <c r="X4" i="1"/>
  <c r="G4" i="1"/>
  <c r="H4" i="1"/>
  <c r="I4" i="1"/>
  <c r="K4" i="1"/>
  <c r="L4" i="1"/>
  <c r="M4" i="1"/>
  <c r="N4" i="1"/>
  <c r="O4" i="1" l="1"/>
  <c r="Q4" i="1" s="1"/>
  <c r="E23" i="1" l="1"/>
</calcChain>
</file>

<file path=xl/sharedStrings.xml><?xml version="1.0" encoding="utf-8"?>
<sst xmlns="http://schemas.openxmlformats.org/spreadsheetml/2006/main" count="61" uniqueCount="51">
  <si>
    <t>Project Name:</t>
  </si>
  <si>
    <t xml:space="preserve">AC-3  – NibbleAI </t>
  </si>
  <si>
    <t>Report Date:</t>
  </si>
  <si>
    <t>01-26-2025</t>
  </si>
  <si>
    <t>Milestone #1</t>
  </si>
  <si>
    <t>Milestone #2</t>
  </si>
  <si>
    <t>Milestone #3</t>
  </si>
  <si>
    <t>Milestone #4</t>
  </si>
  <si>
    <t>C-Day</t>
  </si>
  <si>
    <t>Phase</t>
  </si>
  <si>
    <t>Tasks</t>
  </si>
  <si>
    <t>Complete%</t>
  </si>
  <si>
    <t>Current Status Memo</t>
  </si>
  <si>
    <t>Assigned To</t>
  </si>
  <si>
    <t>Requirements</t>
  </si>
  <si>
    <t>Meet with stakeholder(s) SH</t>
  </si>
  <si>
    <t>Zeynep, Ryan, Austin</t>
  </si>
  <si>
    <t>Define requirements</t>
  </si>
  <si>
    <t>Review requirements with SH</t>
  </si>
  <si>
    <t>Get sign off on requirements</t>
  </si>
  <si>
    <t>Project design</t>
  </si>
  <si>
    <t>Define tech required *</t>
  </si>
  <si>
    <t>Austin</t>
  </si>
  <si>
    <t>Database design</t>
  </si>
  <si>
    <t>UI design</t>
  </si>
  <si>
    <t>Zeynep, Austin</t>
  </si>
  <si>
    <t>ML design</t>
  </si>
  <si>
    <t>Ryan</t>
  </si>
  <si>
    <t>Develop working prototype</t>
  </si>
  <si>
    <t>Test prototype</t>
  </si>
  <si>
    <t>Development</t>
  </si>
  <si>
    <t>Review prototype design</t>
  </si>
  <si>
    <t>Rework requirements</t>
  </si>
  <si>
    <t>Ryan, Zeynep</t>
  </si>
  <si>
    <t>Document updated design</t>
  </si>
  <si>
    <t>Test product</t>
  </si>
  <si>
    <t>Final report</t>
  </si>
  <si>
    <t>Presentation preparation</t>
  </si>
  <si>
    <t>Ryan, Austin, Zeynep</t>
  </si>
  <si>
    <t>Poster preparation</t>
  </si>
  <si>
    <t>Ryan, Austin</t>
  </si>
  <si>
    <t>Final report submission to D2L and project owner</t>
  </si>
  <si>
    <t>Zeynep</t>
  </si>
  <si>
    <t>Total work hours</t>
  </si>
  <si>
    <t>* formally define how you will develop this project including source code management</t>
  </si>
  <si>
    <t>Legend</t>
  </si>
  <si>
    <t>Planned</t>
  </si>
  <si>
    <t xml:space="preserve"> </t>
  </si>
  <si>
    <t>Delayed</t>
  </si>
  <si>
    <t>Number</t>
  </si>
  <si>
    <t>Work: man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</si>
</sst>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;@"/>
  </numFmts>
  <fonts count="2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9C6500"/>
      <name val="Times New Roman"/>
      <family val="1"/>
    </font>
    <font>
      <b/>
      <sz val="11"/>
      <color theme="1"/>
      <name val="Times New Roman"/>
      <family val="1"/>
    </font>
    <font>
      <sz val="11"/>
      <color rgb="FF006100"/>
      <name val="Times New Roman"/>
      <family val="1"/>
    </font>
    <font>
      <sz val="11"/>
      <color rgb="FF9C0006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Arial Narrow"/>
      <family val="2"/>
    </font>
    <font>
      <sz val="10"/>
      <color theme="1"/>
      <name val="Times New Roman"/>
      <family val="1"/>
    </font>
    <font>
      <sz val="12"/>
      <color theme="1"/>
      <name val="Aptos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11" fillId="0" borderId="0" applyFont="0" applyFill="0" applyBorder="0" applyAlignment="0" applyProtection="0"/>
  </cellStyleXfs>
  <cellXfs count="132">
    <xf numFmtId="0" fontId="0" fillId="0" borderId="0" xfId="0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3" applyFont="1" applyFill="1" applyBorder="1"/>
    <xf numFmtId="1" fontId="8" fillId="0" borderId="0" xfId="1" applyNumberFormat="1" applyFont="1" applyFill="1"/>
    <xf numFmtId="0" fontId="10" fillId="0" borderId="1" xfId="0" applyFont="1" applyBorder="1"/>
    <xf numFmtId="1" fontId="8" fillId="0" borderId="2" xfId="1" applyNumberFormat="1" applyFont="1" applyFill="1" applyBorder="1"/>
    <xf numFmtId="0" fontId="5" fillId="0" borderId="3" xfId="0" applyFont="1" applyBorder="1" applyAlignment="1">
      <alignment horizontal="right"/>
    </xf>
    <xf numFmtId="1" fontId="8" fillId="2" borderId="4" xfId="1" applyNumberFormat="1" applyFont="1" applyBorder="1" applyAlignment="1">
      <alignment horizontal="center"/>
    </xf>
    <xf numFmtId="1" fontId="9" fillId="3" borderId="4" xfId="2" applyNumberFormat="1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1" fontId="8" fillId="0" borderId="6" xfId="1" applyNumberFormat="1" applyFont="1" applyFill="1" applyBorder="1"/>
    <xf numFmtId="1" fontId="5" fillId="0" borderId="0" xfId="0" applyNumberFormat="1" applyFont="1"/>
    <xf numFmtId="0" fontId="15" fillId="0" borderId="0" xfId="0" applyFont="1"/>
    <xf numFmtId="0" fontId="18" fillId="0" borderId="0" xfId="0" applyFont="1"/>
    <xf numFmtId="9" fontId="5" fillId="0" borderId="7" xfId="0" applyNumberFormat="1" applyFont="1" applyBorder="1"/>
    <xf numFmtId="9" fontId="17" fillId="0" borderId="7" xfId="0" applyNumberFormat="1" applyFont="1" applyBorder="1"/>
    <xf numFmtId="1" fontId="1" fillId="2" borderId="7" xfId="1" applyNumberFormat="1" applyBorder="1" applyAlignment="1">
      <alignment horizontal="center"/>
    </xf>
    <xf numFmtId="1" fontId="8" fillId="0" borderId="7" xfId="1" applyNumberFormat="1" applyFont="1" applyFill="1" applyBorder="1" applyAlignment="1">
      <alignment horizontal="center"/>
    </xf>
    <xf numFmtId="1" fontId="8" fillId="7" borderId="7" xfId="1" applyNumberFormat="1" applyFont="1" applyFill="1" applyBorder="1" applyAlignment="1">
      <alignment horizontal="center"/>
    </xf>
    <xf numFmtId="1" fontId="1" fillId="7" borderId="7" xfId="1" applyNumberFormat="1" applyFill="1" applyBorder="1" applyAlignment="1">
      <alignment horizontal="center"/>
    </xf>
    <xf numFmtId="1" fontId="8" fillId="6" borderId="7" xfId="1" applyNumberFormat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9" fontId="5" fillId="0" borderId="7" xfId="4" applyFont="1" applyBorder="1"/>
    <xf numFmtId="9" fontId="17" fillId="0" borderId="7" xfId="4" applyFont="1" applyBorder="1"/>
    <xf numFmtId="1" fontId="8" fillId="0" borderId="12" xfId="1" applyNumberFormat="1" applyFont="1" applyFill="1" applyBorder="1" applyAlignment="1">
      <alignment horizontal="center"/>
    </xf>
    <xf numFmtId="1" fontId="8" fillId="7" borderId="12" xfId="1" applyNumberFormat="1" applyFont="1" applyFill="1" applyBorder="1" applyAlignment="1">
      <alignment horizontal="center"/>
    </xf>
    <xf numFmtId="1" fontId="1" fillId="7" borderId="12" xfId="1" applyNumberFormat="1" applyFill="1" applyBorder="1" applyAlignment="1">
      <alignment horizontal="center"/>
    </xf>
    <xf numFmtId="9" fontId="5" fillId="0" borderId="16" xfId="0" applyNumberFormat="1" applyFont="1" applyBorder="1"/>
    <xf numFmtId="9" fontId="17" fillId="0" borderId="16" xfId="0" applyNumberFormat="1" applyFont="1" applyBorder="1"/>
    <xf numFmtId="1" fontId="8" fillId="0" borderId="16" xfId="1" applyNumberFormat="1" applyFont="1" applyFill="1" applyBorder="1" applyAlignment="1">
      <alignment horizontal="center"/>
    </xf>
    <xf numFmtId="0" fontId="13" fillId="0" borderId="0" xfId="0" applyFont="1"/>
    <xf numFmtId="9" fontId="5" fillId="0" borderId="14" xfId="4" applyFont="1" applyBorder="1"/>
    <xf numFmtId="9" fontId="17" fillId="0" borderId="14" xfId="4" applyFont="1" applyBorder="1"/>
    <xf numFmtId="1" fontId="8" fillId="0" borderId="14" xfId="1" applyNumberFormat="1" applyFont="1" applyFill="1" applyBorder="1" applyAlignment="1">
      <alignment horizontal="center"/>
    </xf>
    <xf numFmtId="1" fontId="8" fillId="7" borderId="14" xfId="1" applyNumberFormat="1" applyFont="1" applyFill="1" applyBorder="1" applyAlignment="1">
      <alignment horizontal="center"/>
    </xf>
    <xf numFmtId="1" fontId="1" fillId="7" borderId="15" xfId="1" applyNumberFormat="1" applyFill="1" applyBorder="1" applyAlignment="1">
      <alignment horizontal="center"/>
    </xf>
    <xf numFmtId="1" fontId="1" fillId="2" borderId="11" xfId="1" applyNumberFormat="1" applyBorder="1" applyAlignment="1">
      <alignment horizontal="center"/>
    </xf>
    <xf numFmtId="1" fontId="8" fillId="0" borderId="11" xfId="1" applyNumberFormat="1" applyFont="1" applyFill="1" applyBorder="1" applyAlignment="1">
      <alignment horizontal="center"/>
    </xf>
    <xf numFmtId="1" fontId="8" fillId="0" borderId="13" xfId="1" applyNumberFormat="1" applyFont="1" applyFill="1" applyBorder="1" applyAlignment="1">
      <alignment horizontal="center"/>
    </xf>
    <xf numFmtId="0" fontId="5" fillId="0" borderId="27" xfId="0" applyFont="1" applyBorder="1" applyAlignment="1">
      <alignment wrapText="1"/>
    </xf>
    <xf numFmtId="0" fontId="5" fillId="0" borderId="27" xfId="0" applyFont="1" applyBorder="1"/>
    <xf numFmtId="0" fontId="5" fillId="0" borderId="22" xfId="0" applyFont="1" applyBorder="1"/>
    <xf numFmtId="1" fontId="9" fillId="0" borderId="11" xfId="2" applyNumberFormat="1" applyFont="1" applyFill="1" applyBorder="1" applyAlignment="1">
      <alignment horizontal="center"/>
    </xf>
    <xf numFmtId="1" fontId="1" fillId="7" borderId="11" xfId="1" applyNumberFormat="1" applyFill="1" applyBorder="1" applyAlignment="1">
      <alignment horizontal="center"/>
    </xf>
    <xf numFmtId="1" fontId="8" fillId="7" borderId="11" xfId="1" applyNumberFormat="1" applyFont="1" applyFill="1" applyBorder="1" applyAlignment="1">
      <alignment horizontal="center"/>
    </xf>
    <xf numFmtId="1" fontId="8" fillId="7" borderId="13" xfId="1" applyNumberFormat="1" applyFont="1" applyFill="1" applyBorder="1" applyAlignment="1">
      <alignment horizontal="center"/>
    </xf>
    <xf numFmtId="1" fontId="8" fillId="7" borderId="15" xfId="1" applyNumberFormat="1" applyFont="1" applyFill="1" applyBorder="1" applyAlignment="1">
      <alignment horizontal="center"/>
    </xf>
    <xf numFmtId="1" fontId="8" fillId="0" borderId="26" xfId="1" applyNumberFormat="1" applyFont="1" applyFill="1" applyBorder="1" applyAlignment="1">
      <alignment horizontal="center"/>
    </xf>
    <xf numFmtId="1" fontId="8" fillId="0" borderId="27" xfId="1" applyNumberFormat="1" applyFont="1" applyFill="1" applyBorder="1" applyAlignment="1">
      <alignment horizontal="center"/>
    </xf>
    <xf numFmtId="1" fontId="8" fillId="7" borderId="27" xfId="1" applyNumberFormat="1" applyFont="1" applyFill="1" applyBorder="1" applyAlignment="1">
      <alignment horizontal="center"/>
    </xf>
    <xf numFmtId="1" fontId="8" fillId="0" borderId="22" xfId="1" applyNumberFormat="1" applyFont="1" applyFill="1" applyBorder="1" applyAlignment="1">
      <alignment horizontal="center"/>
    </xf>
    <xf numFmtId="1" fontId="8" fillId="0" borderId="21" xfId="1" applyNumberFormat="1" applyFont="1" applyFill="1" applyBorder="1" applyAlignment="1">
      <alignment horizontal="center"/>
    </xf>
    <xf numFmtId="1" fontId="1" fillId="7" borderId="27" xfId="1" applyNumberFormat="1" applyFill="1" applyBorder="1" applyAlignment="1">
      <alignment horizontal="center"/>
    </xf>
    <xf numFmtId="0" fontId="1" fillId="7" borderId="27" xfId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1" fontId="8" fillId="7" borderId="22" xfId="1" applyNumberFormat="1" applyFont="1" applyFill="1" applyBorder="1" applyAlignment="1">
      <alignment horizontal="center"/>
    </xf>
    <xf numFmtId="0" fontId="5" fillId="0" borderId="32" xfId="0" applyFont="1" applyBorder="1"/>
    <xf numFmtId="0" fontId="5" fillId="0" borderId="33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 applyAlignment="1">
      <alignment vertical="top" wrapText="1"/>
    </xf>
    <xf numFmtId="0" fontId="5" fillId="0" borderId="35" xfId="0" applyFont="1" applyBorder="1"/>
    <xf numFmtId="9" fontId="5" fillId="0" borderId="9" xfId="0" applyNumberFormat="1" applyFont="1" applyBorder="1"/>
    <xf numFmtId="9" fontId="17" fillId="0" borderId="9" xfId="0" applyNumberFormat="1" applyFont="1" applyBorder="1"/>
    <xf numFmtId="0" fontId="5" fillId="0" borderId="36" xfId="0" applyFont="1" applyBorder="1" applyAlignment="1">
      <alignment wrapText="1"/>
    </xf>
    <xf numFmtId="1" fontId="1" fillId="2" borderId="8" xfId="1" applyNumberFormat="1" applyBorder="1" applyAlignment="1">
      <alignment horizontal="center"/>
    </xf>
    <xf numFmtId="1" fontId="1" fillId="2" borderId="9" xfId="1" applyNumberFormat="1" applyBorder="1" applyAlignment="1">
      <alignment horizontal="center"/>
    </xf>
    <xf numFmtId="1" fontId="8" fillId="0" borderId="36" xfId="1" applyNumberFormat="1" applyFont="1" applyFill="1" applyBorder="1" applyAlignment="1">
      <alignment horizontal="center"/>
    </xf>
    <xf numFmtId="1" fontId="9" fillId="0" borderId="8" xfId="2" applyNumberFormat="1" applyFont="1" applyFill="1" applyBorder="1" applyAlignment="1">
      <alignment horizontal="center"/>
    </xf>
    <xf numFmtId="1" fontId="8" fillId="0" borderId="9" xfId="1" applyNumberFormat="1" applyFont="1" applyFill="1" applyBorder="1" applyAlignment="1">
      <alignment horizontal="center"/>
    </xf>
    <xf numFmtId="1" fontId="8" fillId="0" borderId="8" xfId="1" applyNumberFormat="1" applyFont="1" applyFill="1" applyBorder="1" applyAlignment="1">
      <alignment horizontal="center"/>
    </xf>
    <xf numFmtId="1" fontId="8" fillId="0" borderId="10" xfId="1" applyNumberFormat="1" applyFont="1" applyFill="1" applyBorder="1" applyAlignment="1">
      <alignment horizontal="center"/>
    </xf>
    <xf numFmtId="0" fontId="5" fillId="0" borderId="30" xfId="0" applyFont="1" applyBorder="1"/>
    <xf numFmtId="9" fontId="5" fillId="0" borderId="14" xfId="0" applyNumberFormat="1" applyFont="1" applyBorder="1"/>
    <xf numFmtId="9" fontId="17" fillId="0" borderId="14" xfId="0" applyNumberFormat="1" applyFont="1" applyBorder="1"/>
    <xf numFmtId="0" fontId="5" fillId="0" borderId="22" xfId="0" applyFont="1" applyBorder="1" applyAlignment="1">
      <alignment wrapText="1"/>
    </xf>
    <xf numFmtId="1" fontId="1" fillId="2" borderId="14" xfId="1" applyNumberFormat="1" applyBorder="1" applyAlignment="1">
      <alignment horizontal="center"/>
    </xf>
    <xf numFmtId="1" fontId="2" fillId="7" borderId="13" xfId="2" applyNumberFormat="1" applyFill="1" applyBorder="1" applyAlignment="1">
      <alignment horizontal="center"/>
    </xf>
    <xf numFmtId="0" fontId="16" fillId="0" borderId="37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38" xfId="0" applyFont="1" applyBorder="1"/>
    <xf numFmtId="164" fontId="7" fillId="0" borderId="39" xfId="0" applyNumberFormat="1" applyFont="1" applyBorder="1"/>
    <xf numFmtId="164" fontId="7" fillId="0" borderId="24" xfId="0" applyNumberFormat="1" applyFont="1" applyBorder="1"/>
    <xf numFmtId="164" fontId="7" fillId="0" borderId="38" xfId="0" applyNumberFormat="1" applyFont="1" applyBorder="1"/>
    <xf numFmtId="164" fontId="7" fillId="0" borderId="25" xfId="0" applyNumberFormat="1" applyFont="1" applyBorder="1"/>
    <xf numFmtId="0" fontId="5" fillId="0" borderId="26" xfId="0" applyFont="1" applyBorder="1"/>
    <xf numFmtId="1" fontId="1" fillId="0" borderId="16" xfId="1" applyNumberFormat="1" applyFill="1" applyBorder="1" applyAlignment="1">
      <alignment horizontal="center"/>
    </xf>
    <xf numFmtId="1" fontId="1" fillId="7" borderId="21" xfId="1" applyNumberFormat="1" applyFill="1" applyBorder="1" applyAlignment="1">
      <alignment horizontal="center"/>
    </xf>
    <xf numFmtId="1" fontId="8" fillId="7" borderId="16" xfId="1" applyNumberFormat="1" applyFont="1" applyFill="1" applyBorder="1" applyAlignment="1">
      <alignment horizontal="center"/>
    </xf>
    <xf numFmtId="1" fontId="8" fillId="7" borderId="26" xfId="1" applyNumberFormat="1" applyFont="1" applyFill="1" applyBorder="1" applyAlignment="1">
      <alignment horizontal="center"/>
    </xf>
    <xf numFmtId="1" fontId="8" fillId="7" borderId="21" xfId="1" applyNumberFormat="1" applyFont="1" applyFill="1" applyBorder="1" applyAlignment="1">
      <alignment horizontal="center"/>
    </xf>
    <xf numFmtId="1" fontId="8" fillId="7" borderId="17" xfId="1" applyNumberFormat="1" applyFont="1" applyFill="1" applyBorder="1" applyAlignment="1">
      <alignment horizontal="center"/>
    </xf>
    <xf numFmtId="1" fontId="1" fillId="7" borderId="14" xfId="1" applyNumberFormat="1" applyFill="1" applyBorder="1" applyAlignment="1">
      <alignment horizontal="center"/>
    </xf>
    <xf numFmtId="1" fontId="1" fillId="7" borderId="22" xfId="1" applyNumberFormat="1" applyFill="1" applyBorder="1" applyAlignment="1">
      <alignment horizontal="center"/>
    </xf>
    <xf numFmtId="1" fontId="1" fillId="7" borderId="13" xfId="1" applyNumberForma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1" fillId="7" borderId="26" xfId="1" applyFill="1" applyBorder="1" applyAlignment="1">
      <alignment horizontal="center"/>
    </xf>
    <xf numFmtId="1" fontId="1" fillId="7" borderId="16" xfId="1" applyNumberFormat="1" applyFill="1" applyBorder="1" applyAlignment="1">
      <alignment horizontal="center"/>
    </xf>
    <xf numFmtId="1" fontId="9" fillId="7" borderId="26" xfId="2" applyNumberFormat="1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9" fontId="5" fillId="0" borderId="16" xfId="4" applyFont="1" applyBorder="1"/>
    <xf numFmtId="9" fontId="17" fillId="0" borderId="16" xfId="4" applyFont="1" applyBorder="1"/>
    <xf numFmtId="1" fontId="1" fillId="7" borderId="26" xfId="1" applyNumberFormat="1" applyFill="1" applyBorder="1" applyAlignment="1">
      <alignment horizontal="center"/>
    </xf>
    <xf numFmtId="1" fontId="1" fillId="7" borderId="17" xfId="1" applyNumberFormat="1" applyFill="1" applyBorder="1" applyAlignment="1">
      <alignment horizontal="center"/>
    </xf>
    <xf numFmtId="0" fontId="7" fillId="0" borderId="34" xfId="0" applyFont="1" applyBorder="1"/>
    <xf numFmtId="1" fontId="2" fillId="6" borderId="7" xfId="2" applyNumberFormat="1" applyFill="1" applyBorder="1" applyAlignment="1">
      <alignment horizontal="center"/>
    </xf>
    <xf numFmtId="1" fontId="19" fillId="6" borderId="9" xfId="2" applyNumberFormat="1" applyFont="1" applyFill="1" applyBorder="1" applyAlignment="1">
      <alignment horizontal="center"/>
    </xf>
    <xf numFmtId="1" fontId="8" fillId="0" borderId="40" xfId="1" applyNumberFormat="1" applyFont="1" applyFill="1" applyBorder="1" applyAlignment="1">
      <alignment horizontal="center"/>
    </xf>
    <xf numFmtId="1" fontId="8" fillId="0" borderId="41" xfId="1" applyNumberFormat="1" applyFont="1" applyFill="1" applyBorder="1" applyAlignment="1">
      <alignment horizontal="center"/>
    </xf>
    <xf numFmtId="1" fontId="8" fillId="0" borderId="42" xfId="1" applyNumberFormat="1" applyFont="1" applyFill="1" applyBorder="1" applyAlignment="1">
      <alignment horizontal="center"/>
    </xf>
    <xf numFmtId="1" fontId="13" fillId="5" borderId="40" xfId="1" applyNumberFormat="1" applyFont="1" applyFill="1" applyBorder="1" applyAlignment="1">
      <alignment horizontal="center"/>
    </xf>
    <xf numFmtId="1" fontId="8" fillId="0" borderId="43" xfId="1" applyNumberFormat="1" applyFont="1" applyFill="1" applyBorder="1" applyAlignment="1">
      <alignment horizontal="center"/>
    </xf>
    <xf numFmtId="164" fontId="7" fillId="0" borderId="23" xfId="0" applyNumberFormat="1" applyFont="1" applyBorder="1"/>
    <xf numFmtId="0" fontId="7" fillId="0" borderId="31" xfId="0" applyFont="1" applyBorder="1"/>
    <xf numFmtId="1" fontId="9" fillId="7" borderId="21" xfId="2" applyNumberFormat="1" applyFont="1" applyFill="1" applyBorder="1" applyAlignment="1">
      <alignment horizontal="center"/>
    </xf>
    <xf numFmtId="1" fontId="9" fillId="7" borderId="16" xfId="2" applyNumberFormat="1" applyFont="1" applyFill="1" applyBorder="1" applyAlignment="1">
      <alignment horizontal="center"/>
    </xf>
    <xf numFmtId="164" fontId="7" fillId="0" borderId="8" xfId="0" applyNumberFormat="1" applyFont="1" applyBorder="1"/>
    <xf numFmtId="0" fontId="13" fillId="5" borderId="45" xfId="0" applyFont="1" applyFill="1" applyBorder="1" applyAlignment="1">
      <alignment horizontal="right"/>
    </xf>
    <xf numFmtId="1" fontId="14" fillId="5" borderId="44" xfId="0" applyNumberFormat="1" applyFont="1" applyFill="1" applyBorder="1"/>
    <xf numFmtId="0" fontId="5" fillId="0" borderId="40" xfId="0" applyFont="1" applyBorder="1"/>
    <xf numFmtId="0" fontId="5" fillId="0" borderId="44" xfId="0" applyFont="1" applyBorder="1"/>
    <xf numFmtId="1" fontId="8" fillId="7" borderId="40" xfId="1" applyNumberFormat="1" applyFont="1" applyFill="1" applyBorder="1" applyAlignment="1">
      <alignment horizontal="center"/>
    </xf>
    <xf numFmtId="164" fontId="7" fillId="0" borderId="0" xfId="0" applyNumberFormat="1" applyFont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Percent" xfId="4" builtinId="5"/>
  </cellStyles>
  <dxfs count="0"/>
  <tableStyles count="0" defaultTableStyle="TableStyleMedium2" defaultPivotStyle="PivotStyleMedium9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2"/>
  <sheetViews>
    <sheetView tabSelected="1" zoomScale="120" zoomScaleNormal="120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W21" sqref="W21"/>
    </sheetView>
  </sheetViews>
  <sheetFormatPr defaultColWidth="8.85546875" defaultRowHeight="15" x14ac:dyDescent="0.25"/>
  <cols>
    <col min="1" max="1" width="16.7109375" style="2" bestFit="1" customWidth="1"/>
    <col min="2" max="2" width="27.42578125" style="2" customWidth="1"/>
    <col min="3" max="3" width="9.85546875" style="2" bestFit="1" customWidth="1"/>
    <col min="4" max="4" width="19.140625" style="2" customWidth="1"/>
    <col min="5" max="5" width="24" style="2" customWidth="1"/>
    <col min="6" max="7" width="6" style="2" bestFit="1" customWidth="1"/>
    <col min="8" max="9" width="5.5703125" style="2" bestFit="1" customWidth="1"/>
    <col min="10" max="10" width="6" style="2" bestFit="1" customWidth="1"/>
    <col min="11" max="15" width="5.5703125" style="2" bestFit="1" customWidth="1"/>
    <col min="16" max="16" width="6" style="2" bestFit="1" customWidth="1"/>
    <col min="17" max="17" width="5.5703125" style="2" bestFit="1" customWidth="1"/>
    <col min="18" max="23" width="5.5703125" style="2" customWidth="1"/>
    <col min="24" max="24" width="5.5703125" style="2" bestFit="1" customWidth="1"/>
    <col min="25" max="16384" width="8.85546875" style="2"/>
  </cols>
  <sheetData>
    <row r="1" spans="1:29" ht="15.75" x14ac:dyDescent="0.25">
      <c r="A1" s="1" t="s">
        <v>0</v>
      </c>
      <c r="B1" s="15" t="s">
        <v>1</v>
      </c>
    </row>
    <row r="2" spans="1:29" x14ac:dyDescent="0.25">
      <c r="A2" s="1" t="s">
        <v>2</v>
      </c>
      <c r="B2" s="3" t="s">
        <v>3</v>
      </c>
      <c r="K2" s="4"/>
    </row>
    <row r="3" spans="1:29" ht="14.45" customHeight="1" x14ac:dyDescent="0.25">
      <c r="A3" s="1"/>
      <c r="B3" s="3"/>
      <c r="F3" s="129" t="s">
        <v>4</v>
      </c>
      <c r="G3" s="130"/>
      <c r="H3" s="130"/>
      <c r="I3" s="130"/>
      <c r="J3" s="129" t="s">
        <v>5</v>
      </c>
      <c r="K3" s="130"/>
      <c r="L3" s="130"/>
      <c r="M3" s="130"/>
      <c r="N3" s="129" t="s">
        <v>6</v>
      </c>
      <c r="O3" s="130"/>
      <c r="P3" s="130"/>
      <c r="Q3" s="130"/>
      <c r="R3" s="129" t="s">
        <v>7</v>
      </c>
      <c r="S3" s="130"/>
      <c r="T3" s="130"/>
      <c r="U3" s="130"/>
      <c r="V3" s="131"/>
      <c r="W3" s="127" t="s">
        <v>8</v>
      </c>
      <c r="X3" s="128"/>
    </row>
    <row r="4" spans="1:29" ht="16.5" x14ac:dyDescent="0.3">
      <c r="A4" s="80" t="s">
        <v>9</v>
      </c>
      <c r="B4" s="81" t="s">
        <v>10</v>
      </c>
      <c r="C4" s="82" t="s">
        <v>11</v>
      </c>
      <c r="D4" s="82" t="s">
        <v>12</v>
      </c>
      <c r="E4" s="83" t="s">
        <v>13</v>
      </c>
      <c r="F4" s="84">
        <v>45663</v>
      </c>
      <c r="G4" s="85">
        <f>F4+7</f>
        <v>45670</v>
      </c>
      <c r="H4" s="85">
        <f t="shared" ref="H4:Q4" si="0">G4+7</f>
        <v>45677</v>
      </c>
      <c r="I4" s="86">
        <f t="shared" si="0"/>
        <v>45684</v>
      </c>
      <c r="J4" s="84">
        <v>45691</v>
      </c>
      <c r="K4" s="85">
        <f t="shared" si="0"/>
        <v>45698</v>
      </c>
      <c r="L4" s="85">
        <f t="shared" si="0"/>
        <v>45705</v>
      </c>
      <c r="M4" s="86">
        <f t="shared" si="0"/>
        <v>45712</v>
      </c>
      <c r="N4" s="84">
        <f t="shared" si="0"/>
        <v>45719</v>
      </c>
      <c r="O4" s="85">
        <f t="shared" si="0"/>
        <v>45726</v>
      </c>
      <c r="P4" s="85">
        <v>45733</v>
      </c>
      <c r="Q4" s="86">
        <f t="shared" si="0"/>
        <v>45740</v>
      </c>
      <c r="R4" s="84">
        <v>45747</v>
      </c>
      <c r="S4" s="85">
        <v>45754</v>
      </c>
      <c r="T4" s="85">
        <v>45761</v>
      </c>
      <c r="U4" s="85">
        <v>45768</v>
      </c>
      <c r="V4" s="87">
        <v>45775</v>
      </c>
      <c r="W4" s="116">
        <v>45769</v>
      </c>
      <c r="X4" s="87">
        <f t="shared" ref="X4" si="1">W5+7</f>
        <v>7</v>
      </c>
    </row>
    <row r="5" spans="1:29" x14ac:dyDescent="0.25">
      <c r="A5" s="108" t="s">
        <v>14</v>
      </c>
      <c r="B5" s="63" t="s">
        <v>15</v>
      </c>
      <c r="C5" s="64">
        <v>0</v>
      </c>
      <c r="D5" s="65"/>
      <c r="E5" s="66" t="s">
        <v>16</v>
      </c>
      <c r="F5" s="67">
        <v>2</v>
      </c>
      <c r="G5" s="68">
        <v>5</v>
      </c>
      <c r="H5" s="110">
        <v>5</v>
      </c>
      <c r="I5" s="69"/>
      <c r="J5" s="70"/>
      <c r="K5" s="71"/>
      <c r="L5" s="71"/>
      <c r="M5" s="69"/>
      <c r="N5" s="72"/>
      <c r="O5" s="71"/>
      <c r="P5" s="71"/>
      <c r="Q5" s="69"/>
      <c r="R5" s="72"/>
      <c r="S5" s="71"/>
      <c r="T5" s="71"/>
      <c r="U5" s="71"/>
      <c r="V5" s="69"/>
      <c r="W5" s="120"/>
      <c r="X5" s="73"/>
    </row>
    <row r="6" spans="1:29" ht="29.25" customHeight="1" x14ac:dyDescent="0.25">
      <c r="A6" s="58"/>
      <c r="B6" s="61" t="s">
        <v>17</v>
      </c>
      <c r="C6" s="16"/>
      <c r="D6" s="17"/>
      <c r="E6" s="41" t="s">
        <v>16</v>
      </c>
      <c r="F6" s="38"/>
      <c r="G6" s="18"/>
      <c r="H6" s="109"/>
      <c r="I6" s="50"/>
      <c r="J6" s="44"/>
      <c r="K6" s="19"/>
      <c r="L6" s="19"/>
      <c r="M6" s="50"/>
      <c r="N6" s="39"/>
      <c r="O6" s="19"/>
      <c r="P6" s="19"/>
      <c r="Q6" s="50"/>
      <c r="R6" s="39"/>
      <c r="S6" s="19"/>
      <c r="T6" s="19"/>
      <c r="U6" s="19"/>
      <c r="V6" s="50"/>
      <c r="W6" s="39"/>
      <c r="X6" s="26"/>
    </row>
    <row r="7" spans="1:29" ht="29.25" customHeight="1" x14ac:dyDescent="0.25">
      <c r="A7" s="58"/>
      <c r="B7" s="61" t="s">
        <v>18</v>
      </c>
      <c r="C7" s="16">
        <v>0</v>
      </c>
      <c r="D7" s="17"/>
      <c r="E7" s="41" t="s">
        <v>16</v>
      </c>
      <c r="F7" s="39"/>
      <c r="G7" s="18">
        <v>2</v>
      </c>
      <c r="H7" s="18">
        <v>5</v>
      </c>
      <c r="I7" s="50"/>
      <c r="J7" s="39"/>
      <c r="K7" s="19"/>
      <c r="L7" s="19"/>
      <c r="M7" s="50"/>
      <c r="N7" s="39"/>
      <c r="O7" s="19"/>
      <c r="P7" s="19"/>
      <c r="Q7" s="50"/>
      <c r="R7" s="39"/>
      <c r="S7" s="19"/>
      <c r="T7" s="19"/>
      <c r="U7" s="19"/>
      <c r="V7" s="50"/>
      <c r="W7" s="39"/>
      <c r="X7" s="26"/>
    </row>
    <row r="8" spans="1:29" ht="29.25" customHeight="1" x14ac:dyDescent="0.25">
      <c r="A8" s="59"/>
      <c r="B8" s="74" t="s">
        <v>19</v>
      </c>
      <c r="C8" s="75">
        <v>0</v>
      </c>
      <c r="D8" s="76"/>
      <c r="E8" s="77" t="s">
        <v>16</v>
      </c>
      <c r="F8" s="40"/>
      <c r="G8" s="35"/>
      <c r="H8" s="78">
        <v>5</v>
      </c>
      <c r="I8" s="96">
        <v>10</v>
      </c>
      <c r="J8" s="79"/>
      <c r="K8" s="36"/>
      <c r="L8" s="36"/>
      <c r="M8" s="57"/>
      <c r="N8" s="47"/>
      <c r="O8" s="36"/>
      <c r="P8" s="36"/>
      <c r="Q8" s="57"/>
      <c r="R8" s="47"/>
      <c r="S8" s="36"/>
      <c r="T8" s="36"/>
      <c r="U8" s="36"/>
      <c r="V8" s="57"/>
      <c r="W8" s="40"/>
      <c r="X8" s="48"/>
    </row>
    <row r="9" spans="1:29" x14ac:dyDescent="0.25">
      <c r="A9" s="117" t="s">
        <v>20</v>
      </c>
      <c r="B9" s="60" t="s">
        <v>21</v>
      </c>
      <c r="C9" s="29">
        <v>0</v>
      </c>
      <c r="D9" s="30"/>
      <c r="E9" s="88" t="s">
        <v>22</v>
      </c>
      <c r="F9" s="53"/>
      <c r="G9" s="31"/>
      <c r="H9" s="89"/>
      <c r="I9" s="106">
        <v>10</v>
      </c>
      <c r="J9" s="90"/>
      <c r="K9" s="91"/>
      <c r="L9" s="91"/>
      <c r="M9" s="92"/>
      <c r="N9" s="93"/>
      <c r="O9" s="91"/>
      <c r="P9" s="91"/>
      <c r="Q9" s="92"/>
      <c r="R9" s="93"/>
      <c r="S9" s="91"/>
      <c r="T9" s="91"/>
      <c r="U9" s="91"/>
      <c r="V9" s="92"/>
      <c r="W9" s="93"/>
      <c r="X9" s="94"/>
    </row>
    <row r="10" spans="1:29" x14ac:dyDescent="0.25">
      <c r="A10" s="58"/>
      <c r="B10" s="61" t="s">
        <v>23</v>
      </c>
      <c r="C10" s="16">
        <v>0</v>
      </c>
      <c r="D10" s="17"/>
      <c r="E10" s="42" t="s">
        <v>22</v>
      </c>
      <c r="F10" s="39"/>
      <c r="G10" s="19"/>
      <c r="H10" s="19"/>
      <c r="I10" s="54">
        <v>5</v>
      </c>
      <c r="J10" s="45"/>
      <c r="K10" s="21"/>
      <c r="L10" s="20"/>
      <c r="M10" s="51"/>
      <c r="N10" s="46"/>
      <c r="O10" s="20"/>
      <c r="P10" s="20"/>
      <c r="Q10" s="51"/>
      <c r="R10" s="46"/>
      <c r="S10" s="20"/>
      <c r="T10" s="20"/>
      <c r="U10" s="20"/>
      <c r="V10" s="51"/>
      <c r="W10" s="46"/>
      <c r="X10" s="27"/>
    </row>
    <row r="11" spans="1:29" x14ac:dyDescent="0.25">
      <c r="A11" s="58"/>
      <c r="B11" s="61" t="s">
        <v>24</v>
      </c>
      <c r="C11" s="16">
        <v>0</v>
      </c>
      <c r="D11" s="17"/>
      <c r="E11" s="41" t="s">
        <v>25</v>
      </c>
      <c r="F11" s="39"/>
      <c r="G11" s="22">
        <v>5</v>
      </c>
      <c r="H11" s="22">
        <v>5</v>
      </c>
      <c r="I11" s="51">
        <v>15</v>
      </c>
      <c r="J11" s="46">
        <v>2</v>
      </c>
      <c r="K11" s="21">
        <v>2</v>
      </c>
      <c r="L11" s="21">
        <v>2</v>
      </c>
      <c r="M11" s="51">
        <v>2</v>
      </c>
      <c r="N11" s="46"/>
      <c r="O11" s="20"/>
      <c r="P11" s="20"/>
      <c r="Q11" s="51"/>
      <c r="R11" s="46"/>
      <c r="S11" s="20"/>
      <c r="T11" s="20"/>
      <c r="U11" s="20"/>
      <c r="V11" s="51"/>
      <c r="W11" s="46"/>
      <c r="X11" s="27"/>
      <c r="Z11" s="126"/>
      <c r="AA11" s="126"/>
      <c r="AB11" s="126"/>
      <c r="AC11" s="126"/>
    </row>
    <row r="12" spans="1:29" x14ac:dyDescent="0.25">
      <c r="A12" s="58"/>
      <c r="B12" s="61" t="s">
        <v>26</v>
      </c>
      <c r="C12" s="16">
        <v>0</v>
      </c>
      <c r="D12" s="17"/>
      <c r="E12" s="41" t="s">
        <v>27</v>
      </c>
      <c r="F12" s="39"/>
      <c r="G12" s="19"/>
      <c r="H12" s="18">
        <v>2</v>
      </c>
      <c r="I12" s="54">
        <v>7</v>
      </c>
      <c r="J12" s="45">
        <v>5</v>
      </c>
      <c r="K12" s="21">
        <v>7</v>
      </c>
      <c r="L12" s="21"/>
      <c r="M12" s="51"/>
      <c r="N12" s="46"/>
      <c r="O12" s="20"/>
      <c r="P12" s="20"/>
      <c r="Q12" s="51"/>
      <c r="R12" s="46"/>
      <c r="S12" s="20"/>
      <c r="T12" s="20"/>
      <c r="U12" s="20"/>
      <c r="V12" s="51"/>
      <c r="W12" s="46"/>
      <c r="X12" s="27"/>
    </row>
    <row r="13" spans="1:29" x14ac:dyDescent="0.25">
      <c r="A13" s="58"/>
      <c r="B13" s="61" t="s">
        <v>28</v>
      </c>
      <c r="C13" s="16">
        <v>0</v>
      </c>
      <c r="D13" s="17"/>
      <c r="E13" s="41" t="s">
        <v>16</v>
      </c>
      <c r="F13" s="39"/>
      <c r="G13" s="19"/>
      <c r="H13" s="19"/>
      <c r="I13" s="50"/>
      <c r="J13" s="46"/>
      <c r="K13" s="21"/>
      <c r="L13" s="21"/>
      <c r="M13" s="51"/>
      <c r="N13" s="46">
        <v>6</v>
      </c>
      <c r="O13" s="20">
        <v>2</v>
      </c>
      <c r="P13" s="20">
        <v>3</v>
      </c>
      <c r="Q13" s="51">
        <v>3</v>
      </c>
      <c r="R13" s="46"/>
      <c r="S13" s="20"/>
      <c r="T13" s="20"/>
      <c r="U13" s="20"/>
      <c r="V13" s="51"/>
      <c r="W13" s="46"/>
      <c r="X13" s="27"/>
    </row>
    <row r="14" spans="1:29" x14ac:dyDescent="0.25">
      <c r="A14" s="59"/>
      <c r="B14" s="74" t="s">
        <v>29</v>
      </c>
      <c r="C14" s="75">
        <v>0</v>
      </c>
      <c r="D14" s="76"/>
      <c r="E14" s="77" t="s">
        <v>16</v>
      </c>
      <c r="F14" s="40"/>
      <c r="G14" s="35"/>
      <c r="H14" s="35"/>
      <c r="I14" s="52"/>
      <c r="J14" s="47"/>
      <c r="K14" s="36"/>
      <c r="L14" s="95"/>
      <c r="M14" s="96"/>
      <c r="N14" s="97">
        <v>4</v>
      </c>
      <c r="O14" s="36">
        <v>8</v>
      </c>
      <c r="P14" s="36">
        <v>7</v>
      </c>
      <c r="Q14" s="57">
        <v>4</v>
      </c>
      <c r="R14" s="47"/>
      <c r="S14" s="36"/>
      <c r="T14" s="36"/>
      <c r="U14" s="36"/>
      <c r="V14" s="57"/>
      <c r="W14" s="47"/>
      <c r="X14" s="48"/>
    </row>
    <row r="15" spans="1:29" x14ac:dyDescent="0.25">
      <c r="A15" s="117" t="s">
        <v>30</v>
      </c>
      <c r="B15" s="60" t="s">
        <v>31</v>
      </c>
      <c r="C15" s="29">
        <v>0</v>
      </c>
      <c r="D15" s="30"/>
      <c r="E15" s="41" t="s">
        <v>16</v>
      </c>
      <c r="F15" s="53"/>
      <c r="G15" s="31"/>
      <c r="H15" s="31"/>
      <c r="I15" s="49"/>
      <c r="J15" s="93"/>
      <c r="K15" s="98"/>
      <c r="L15" s="98"/>
      <c r="M15" s="99"/>
      <c r="N15" s="90"/>
      <c r="O15" s="100"/>
      <c r="P15" s="100"/>
      <c r="Q15" s="101"/>
      <c r="R15" s="118"/>
      <c r="S15" s="119"/>
      <c r="T15" s="119"/>
      <c r="U15" s="119"/>
      <c r="V15" s="101"/>
      <c r="W15" s="93"/>
      <c r="X15" s="94"/>
    </row>
    <row r="16" spans="1:29" x14ac:dyDescent="0.25">
      <c r="A16" s="58"/>
      <c r="B16" s="61" t="s">
        <v>32</v>
      </c>
      <c r="C16" s="24">
        <v>0</v>
      </c>
      <c r="D16" s="25"/>
      <c r="E16" s="42" t="s">
        <v>33</v>
      </c>
      <c r="F16" s="39"/>
      <c r="G16" s="19"/>
      <c r="H16" s="19"/>
      <c r="I16" s="50"/>
      <c r="J16" s="46"/>
      <c r="K16" s="23"/>
      <c r="L16" s="23"/>
      <c r="M16" s="55"/>
      <c r="N16" s="45"/>
      <c r="O16" s="21"/>
      <c r="P16" s="21"/>
      <c r="Q16" s="51"/>
      <c r="R16" s="46"/>
      <c r="S16" s="20"/>
      <c r="T16" s="20"/>
      <c r="U16" s="20"/>
      <c r="V16" s="51"/>
      <c r="W16" s="46"/>
      <c r="X16" s="27"/>
    </row>
    <row r="17" spans="1:24" x14ac:dyDescent="0.25">
      <c r="A17" s="58"/>
      <c r="B17" s="61" t="s">
        <v>34</v>
      </c>
      <c r="C17" s="24">
        <v>0</v>
      </c>
      <c r="D17" s="25"/>
      <c r="E17" s="42" t="s">
        <v>22</v>
      </c>
      <c r="F17" s="39"/>
      <c r="G17" s="19"/>
      <c r="H17" s="19"/>
      <c r="I17" s="50"/>
      <c r="J17" s="46"/>
      <c r="K17" s="23"/>
      <c r="L17" s="23"/>
      <c r="M17" s="56"/>
      <c r="N17" s="46"/>
      <c r="O17" s="21"/>
      <c r="P17" s="21"/>
      <c r="Q17" s="54"/>
      <c r="R17" s="45"/>
      <c r="S17" s="21"/>
      <c r="T17" s="21"/>
      <c r="U17" s="21">
        <v>2</v>
      </c>
      <c r="V17" s="54">
        <v>3</v>
      </c>
      <c r="W17" s="46"/>
      <c r="X17" s="27"/>
    </row>
    <row r="18" spans="1:24" x14ac:dyDescent="0.25">
      <c r="A18" s="59"/>
      <c r="B18" s="74" t="s">
        <v>35</v>
      </c>
      <c r="C18" s="33">
        <v>0</v>
      </c>
      <c r="D18" s="34"/>
      <c r="E18" s="43" t="s">
        <v>22</v>
      </c>
      <c r="F18" s="40"/>
      <c r="G18" s="35"/>
      <c r="H18" s="35"/>
      <c r="I18" s="52"/>
      <c r="J18" s="47"/>
      <c r="K18" s="102"/>
      <c r="L18" s="102"/>
      <c r="M18" s="103"/>
      <c r="N18" s="47"/>
      <c r="O18" s="95"/>
      <c r="P18" s="95"/>
      <c r="Q18" s="96"/>
      <c r="R18" s="97">
        <v>15</v>
      </c>
      <c r="S18" s="95">
        <v>8</v>
      </c>
      <c r="T18" s="95">
        <v>3</v>
      </c>
      <c r="U18" s="95">
        <v>3</v>
      </c>
      <c r="V18" s="96">
        <v>3</v>
      </c>
      <c r="W18" s="47"/>
      <c r="X18" s="48"/>
    </row>
    <row r="19" spans="1:24" x14ac:dyDescent="0.25">
      <c r="A19" s="117" t="s">
        <v>36</v>
      </c>
      <c r="B19" s="60" t="s">
        <v>37</v>
      </c>
      <c r="C19" s="104">
        <v>0</v>
      </c>
      <c r="D19" s="105"/>
      <c r="E19" s="88" t="s">
        <v>38</v>
      </c>
      <c r="F19" s="53"/>
      <c r="G19" s="31"/>
      <c r="H19" s="31"/>
      <c r="I19" s="49"/>
      <c r="J19" s="93"/>
      <c r="K19" s="91"/>
      <c r="L19" s="91"/>
      <c r="M19" s="92"/>
      <c r="N19" s="93"/>
      <c r="O19" s="91"/>
      <c r="P19" s="91"/>
      <c r="Q19" s="106"/>
      <c r="R19" s="90"/>
      <c r="S19" s="100"/>
      <c r="T19" s="100"/>
      <c r="U19" s="100"/>
      <c r="V19" s="106"/>
      <c r="W19" s="93"/>
      <c r="X19" s="107"/>
    </row>
    <row r="20" spans="1:24" x14ac:dyDescent="0.25">
      <c r="A20" s="58"/>
      <c r="B20" s="61" t="s">
        <v>39</v>
      </c>
      <c r="C20" s="24">
        <v>0</v>
      </c>
      <c r="D20" s="25"/>
      <c r="E20" s="42" t="s">
        <v>40</v>
      </c>
      <c r="F20" s="39"/>
      <c r="G20" s="19"/>
      <c r="H20" s="19"/>
      <c r="I20" s="50"/>
      <c r="J20" s="46"/>
      <c r="K20" s="20"/>
      <c r="L20" s="20"/>
      <c r="M20" s="51"/>
      <c r="N20" s="46"/>
      <c r="O20" s="20"/>
      <c r="P20" s="20"/>
      <c r="Q20" s="51"/>
      <c r="R20" s="46"/>
      <c r="S20" s="20"/>
      <c r="T20" s="20"/>
      <c r="U20" s="20"/>
      <c r="V20" s="51"/>
      <c r="W20" s="45"/>
      <c r="X20" s="28"/>
    </row>
    <row r="21" spans="1:24" ht="33" customHeight="1" x14ac:dyDescent="0.25">
      <c r="A21" s="59"/>
      <c r="B21" s="62" t="s">
        <v>41</v>
      </c>
      <c r="C21" s="33">
        <v>0</v>
      </c>
      <c r="D21" s="34"/>
      <c r="E21" s="43" t="s">
        <v>42</v>
      </c>
      <c r="F21" s="40"/>
      <c r="G21" s="35"/>
      <c r="H21" s="35"/>
      <c r="I21" s="52"/>
      <c r="J21" s="47"/>
      <c r="K21" s="36"/>
      <c r="L21" s="36"/>
      <c r="M21" s="57"/>
      <c r="N21" s="47"/>
      <c r="O21" s="36"/>
      <c r="P21" s="36"/>
      <c r="Q21" s="57"/>
      <c r="R21" s="47"/>
      <c r="S21" s="36"/>
      <c r="T21" s="36"/>
      <c r="U21" s="36"/>
      <c r="V21" s="57"/>
      <c r="W21" s="47"/>
      <c r="X21" s="37"/>
    </row>
    <row r="22" spans="1:24" x14ac:dyDescent="0.25">
      <c r="D22" s="123"/>
      <c r="E22" s="124"/>
      <c r="F22" s="111"/>
      <c r="G22" s="112"/>
      <c r="H22" s="112"/>
      <c r="I22" s="115"/>
      <c r="J22" s="111"/>
      <c r="K22" s="112"/>
      <c r="L22" s="112"/>
      <c r="M22" s="115"/>
      <c r="N22" s="111"/>
      <c r="O22" s="112"/>
      <c r="P22" s="112"/>
      <c r="Q22" s="115"/>
      <c r="R22" s="111"/>
      <c r="S22" s="112"/>
      <c r="T22" s="112"/>
      <c r="U22" s="112"/>
      <c r="V22" s="115"/>
      <c r="W22" s="125"/>
      <c r="X22" s="113"/>
    </row>
    <row r="23" spans="1:24" s="14" customFormat="1" ht="15.75" x14ac:dyDescent="0.25">
      <c r="A23" s="32"/>
      <c r="D23" s="121" t="s">
        <v>43</v>
      </c>
      <c r="E23" s="122">
        <f>SUM(F23:X23)</f>
        <v>177</v>
      </c>
      <c r="F23" s="114">
        <f>SUM(F5:F21)</f>
        <v>2</v>
      </c>
      <c r="G23" s="114">
        <f t="shared" ref="G23:X23" si="2">SUM(G5:G21)</f>
        <v>12</v>
      </c>
      <c r="H23" s="114">
        <f t="shared" si="2"/>
        <v>22</v>
      </c>
      <c r="I23" s="114">
        <f t="shared" si="2"/>
        <v>47</v>
      </c>
      <c r="J23" s="114">
        <f t="shared" si="2"/>
        <v>7</v>
      </c>
      <c r="K23" s="114">
        <f t="shared" si="2"/>
        <v>9</v>
      </c>
      <c r="L23" s="114">
        <f t="shared" si="2"/>
        <v>2</v>
      </c>
      <c r="M23" s="114">
        <f t="shared" si="2"/>
        <v>2</v>
      </c>
      <c r="N23" s="114">
        <f t="shared" si="2"/>
        <v>10</v>
      </c>
      <c r="O23" s="114">
        <f t="shared" si="2"/>
        <v>10</v>
      </c>
      <c r="P23" s="114">
        <f t="shared" si="2"/>
        <v>10</v>
      </c>
      <c r="Q23" s="114">
        <f t="shared" si="2"/>
        <v>7</v>
      </c>
      <c r="R23" s="114">
        <f t="shared" si="2"/>
        <v>15</v>
      </c>
      <c r="S23" s="114">
        <f t="shared" si="2"/>
        <v>8</v>
      </c>
      <c r="T23" s="114">
        <f t="shared" si="2"/>
        <v>3</v>
      </c>
      <c r="U23" s="114">
        <f t="shared" si="2"/>
        <v>5</v>
      </c>
      <c r="V23" s="114">
        <f t="shared" si="2"/>
        <v>6</v>
      </c>
      <c r="W23" s="114">
        <f t="shared" si="2"/>
        <v>0</v>
      </c>
      <c r="X23" s="114">
        <f t="shared" si="2"/>
        <v>0</v>
      </c>
    </row>
    <row r="24" spans="1:24" x14ac:dyDescent="0.2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5">
      <c r="B25" s="2" t="s">
        <v>44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2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x14ac:dyDescent="0.25">
      <c r="A27" s="6" t="s">
        <v>45</v>
      </c>
      <c r="B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x14ac:dyDescent="0.25">
      <c r="A28" s="8" t="s">
        <v>46</v>
      </c>
      <c r="B28" s="9" t="s">
        <v>47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25">
      <c r="A29" s="8" t="s">
        <v>48</v>
      </c>
      <c r="B29" s="10" t="s">
        <v>47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25">
      <c r="A30" s="11" t="s">
        <v>49</v>
      </c>
      <c r="B30" s="12" t="s">
        <v>50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25"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x14ac:dyDescent="0.25"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</sheetData>
  <mergeCells count="5">
    <mergeCell ref="W3:X3"/>
    <mergeCell ref="F3:I3"/>
    <mergeCell ref="J3:M3"/>
    <mergeCell ref="N3:Q3"/>
    <mergeCell ref="R3:V3"/>
  </mergeCells>
  <pageMargins left="0.7" right="0.7" top="0.75" bottom="0.75" header="0.3" footer="0.3"/>
  <pageSetup scale="72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0ed201-ddc9-4d58-9add-3616acf100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DF8A635D3AF04D84D815FC6936C703" ma:contentTypeVersion="17" ma:contentTypeDescription="Create a new document." ma:contentTypeScope="" ma:versionID="fa36701d807be39824961bf62125cb43">
  <xsd:schema xmlns:xsd="http://www.w3.org/2001/XMLSchema" xmlns:xs="http://www.w3.org/2001/XMLSchema" xmlns:p="http://schemas.microsoft.com/office/2006/metadata/properties" xmlns:ns3="21de0d32-60fa-468a-8b61-f11aed521201" xmlns:ns4="850ed201-ddc9-4d58-9add-3616acf1000a" targetNamespace="http://schemas.microsoft.com/office/2006/metadata/properties" ma:root="true" ma:fieldsID="b1630832f2f3082e91d1b2d86c1fbc6b" ns3:_="" ns4:_="">
    <xsd:import namespace="21de0d32-60fa-468a-8b61-f11aed521201"/>
    <xsd:import namespace="850ed201-ddc9-4d58-9add-3616acf1000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e0d32-60fa-468a-8b61-f11aed5212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ed201-ddc9-4d58-9add-3616acf100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BA0787-6D9B-46F0-8E45-45AC4B9ACEBA}">
  <ds:schemaRefs>
    <ds:schemaRef ds:uri="http://schemas.microsoft.com/office/2006/metadata/properties"/>
    <ds:schemaRef ds:uri="http://schemas.microsoft.com/office/infopath/2007/PartnerControls"/>
    <ds:schemaRef ds:uri="850ed201-ddc9-4d58-9add-3616acf1000a"/>
  </ds:schemaRefs>
</ds:datastoreItem>
</file>

<file path=customXml/itemProps2.xml><?xml version="1.0" encoding="utf-8"?>
<ds:datastoreItem xmlns:ds="http://schemas.openxmlformats.org/officeDocument/2006/customXml" ds:itemID="{B8CF6781-A652-49D5-B36D-4462EC223C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2A3DA7-EA99-4D43-A321-39FA04510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de0d32-60fa-468a-8b61-f11aed521201"/>
    <ds:schemaRef ds:uri="850ed201-ddc9-4d58-9add-3616acf10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Planning and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2025-01-26T23:38:02Z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0x0101000BDF8A635D3AF04D84D815FC6936C703</vt:lpwstr>
  </property>
</Properties>
</file>